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<sst xmlns="http://schemas.openxmlformats.org/spreadsheetml/2006/main" count="194" uniqueCount="100">
  <si>
    <t>#</t>
  </si>
  <si>
    <t>Category</t>
  </si>
  <si>
    <t>Test Case</t>
  </si>
  <si>
    <t>Steps</t>
  </si>
  <si>
    <t>Expected Result</t>
  </si>
  <si>
    <t>Actual Result</t>
  </si>
  <si>
    <t>Pass/Fail</t>
  </si>
  <si>
    <t>Remarks</t>
  </si>
  <si>
    <t>A. Functional Suitability</t>
  </si>
  <si>
    <t>Live location sharing</t>
  </si>
  <si>
    <t>Driver starts a trip; commuter opens live map</t>
  </si>
  <si>
    <t>Driver marker updates on commuter's map in near real time</t>
  </si>
  <si>
    <t/>
  </si>
  <si>
    <t>Fare calculation — mixed passengers</t>
  </si>
  <si>
    <t>Enter 2 regular, 1 student, 1 senior/PWD passenger</t>
  </si>
  <si>
    <t>Fare computed matches official discounted-fare formula</t>
  </si>
  <si>
    <t>Daily Operations accuracy</t>
  </si>
  <si>
    <t>Driver logs trips, fuel expense, and ends shift</t>
  </si>
  <si>
    <t>Earnings, expenses, and net income totals match manual calculation</t>
  </si>
  <si>
    <t>Nearby jeepneys / waiting passengers</t>
  </si>
  <si>
    <t>Commuter opens map with active drivers nearby</t>
  </si>
  <si>
    <t>Nearby jeepneys and waiting-passenger counts display correctly</t>
  </si>
  <si>
    <t>Trip history accuracy</t>
  </si>
  <si>
    <t>Complete a trip as driver/commuter</t>
  </si>
  <si>
    <t>Trip appears in history with correct date, route, and fare</t>
  </si>
  <si>
    <t>Complaint/report submission</t>
  </si>
  <si>
    <t>Submit a driver/commuter complaint</t>
  </si>
  <si>
    <t>Report is received and visible in admin dashboard</t>
  </si>
  <si>
    <t>B. Performance Efficiency</t>
  </si>
  <si>
    <t>Cold start time</t>
  </si>
  <si>
    <t>Launch app from closed state, time to usable home screen</t>
  </si>
  <si>
    <t>≤ target threshold (e.g. 3–5s)</t>
  </si>
  <si>
    <t>Location update latency</t>
  </si>
  <si>
    <t>Compare driver's actual GPS position vs. map display, timestamp the lag</t>
  </si>
  <si>
    <t>Update lag within acceptable threshold (e.g. ≤ 5s)</t>
  </si>
  <si>
    <t>UI responsiveness</t>
  </si>
  <si>
    <t>Tap through core screens/menus, time to render</t>
  </si>
  <si>
    <t>No perceptible delay (e.g. ≤ 300ms)</t>
  </si>
  <si>
    <t>Battery/resource usage during trip</t>
  </si>
  <si>
    <t>Run active trip tracking for a fixed duration, measure battery/CPU draw</t>
  </si>
  <si>
    <t>Within acceptable range for a navigation-class app</t>
  </si>
  <si>
    <t>C. Usability</t>
  </si>
  <si>
    <t>First-time task completion</t>
  </si>
  <si>
    <t>New user attempts core task (book/start trip) with no guidance</t>
  </si>
  <si>
    <t>Task completed without external help</t>
  </si>
  <si>
    <t>Navigation/labeling walkthrough</t>
  </si>
  <si>
    <t>Traverse all primary screens</t>
  </si>
  <si>
    <t>Icons/labels/buttons are unambiguous</t>
  </si>
  <si>
    <t>Task step count</t>
  </si>
  <si>
    <t>Count steps for: start trip, book ride, file report</t>
  </si>
  <si>
    <t>Steps within a reasonable minimum (define benchmark, e.g. ≤5 taps)</t>
  </si>
  <si>
    <t>Success/error feedback</t>
  </si>
  <si>
    <t>Trigger success and failure paths (e.g. login, submit report)</t>
  </si>
  <si>
    <t>Clear confirmation/error message shown each time</t>
  </si>
  <si>
    <t>D. Reliability</t>
  </si>
  <si>
    <t>Stability under normal use</t>
  </si>
  <si>
    <t>Exercise core flows repeatedly (e.g. 30–60 min session)</t>
  </si>
  <si>
    <t>No crash or freeze</t>
  </si>
  <si>
    <t>Data persistence across sessions</t>
  </si>
  <si>
    <t>Log out/close app, log back in</t>
  </si>
  <si>
    <t>Trip history, earnings, notifications preserved</t>
  </si>
  <si>
    <t>Offline/connection-loss handling</t>
  </si>
  <si>
    <t>Disable network mid-use</t>
  </si>
  <si>
    <t>App shows a clear message and recovers when connection returns</t>
  </si>
  <si>
    <t>E. Security</t>
  </si>
  <si>
    <t>Authentication enforcement</t>
  </si>
  <si>
    <t>Attempt to access protected screens/API routes without logging in</t>
  </si>
  <si>
    <t>Access denied / redirected to login</t>
  </si>
  <si>
    <t>Session/token handling</t>
  </si>
  <si>
    <t>Inspect stored auth token; attempt reuse after logout</t>
  </si>
  <si>
    <t>Token invalidated after logout</t>
  </si>
  <si>
    <t>ID/selfie verification flow</t>
  </si>
  <si>
    <t>Submit ID + selfie as new driver/commuter</t>
  </si>
  <si>
    <t>Submission routed to admin for manual review, not auto-approved</t>
  </si>
  <si>
    <t>Basic input validation</t>
  </si>
  <si>
    <t>Submit forms with invalid/malicious input (e.g. empty fields, script tags)</t>
  </si>
  <si>
    <t>Rejected or sanitized, no crash or injection</t>
  </si>
  <si>
    <t>F. Maintainability (admin website)</t>
  </si>
  <si>
    <t>Monitoring dashboard</t>
  </si>
  <si>
    <t>Open admin website, review drivers/commuters/ongoing trips</t>
  </si>
  <si>
    <t>All active entities visible and current</t>
  </si>
  <si>
    <t>Verification/incident review workflow</t>
  </si>
  <si>
    <t>Admin reviews a pending ID verification or incident report</t>
  </si>
  <si>
    <t>Admin can approve/reject/act in a small number of steps</t>
  </si>
  <si>
    <t>Total</t>
  </si>
  <si>
    <t>Passed</t>
  </si>
  <si>
    <t>Failed</t>
  </si>
  <si>
    <t>Pass Rate</t>
  </si>
  <si>
    <t>Verbal Interpretation</t>
  </si>
  <si>
    <t>Overall</t>
  </si>
  <si>
    <t>90% – 100%</t>
  </si>
  <si>
    <t>Excellent</t>
  </si>
  <si>
    <t>75% – 89%</t>
  </si>
  <si>
    <t>Very Satisfactory</t>
  </si>
  <si>
    <t>60% – 74%</t>
  </si>
  <si>
    <t>Satisfactory</t>
  </si>
  <si>
    <t>40% – 59%</t>
  </si>
  <si>
    <t>Fair</t>
  </si>
  <si>
    <t>Below 40%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</si>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</sst>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957DB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CE7F3"/>
      </patternFill>
    </fill>
    <fill>
      <patternFill patternType="solid">
        <fgColor rgb="FFFEE2E2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24" customWidth="1"/>
    <col min="3" max="3" width="34" customWidth="1"/>
    <col min="4" max="5" width="46" customWidth="1"/>
    <col min="6" max="6" width="34" customWidth="1"/>
    <col min="7" max="7" width="12" style="1" customWidth="1"/>
    <col min="8" max="8" width="30" customWidth="1"/>
  </cols>
  <sheetData>
    <row r="1" ht="26" customHeight="1" spans="1:8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</row>
    <row r="2" spans="1:8" s="5" customFormat="1" x14ac:dyDescent="0.25">
      <c r="A2" s="6">
        <v>1</v>
      </c>
      <c r="B2" s="7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6" t="s">
        <v>12</v>
      </c>
      <c r="H2" s="8" t="s">
        <v>12</v>
      </c>
    </row>
    <row r="3" spans="1:8" s="5" customFormat="1" x14ac:dyDescent="0.25">
      <c r="A3" s="6">
        <v>2</v>
      </c>
      <c r="B3" s="7" t="s">
        <v>8</v>
      </c>
      <c r="C3" s="8" t="s">
        <v>13</v>
      </c>
      <c r="D3" s="8" t="s">
        <v>14</v>
      </c>
      <c r="E3" s="8" t="s">
        <v>15</v>
      </c>
      <c r="F3" s="8" t="s">
        <v>12</v>
      </c>
      <c r="G3" s="6" t="s">
        <v>12</v>
      </c>
      <c r="H3" s="8" t="s">
        <v>12</v>
      </c>
    </row>
    <row r="4" spans="1:8" s="5" customFormat="1" x14ac:dyDescent="0.25">
      <c r="A4" s="6">
        <v>3</v>
      </c>
      <c r="B4" s="7" t="s">
        <v>8</v>
      </c>
      <c r="C4" s="8" t="s">
        <v>16</v>
      </c>
      <c r="D4" s="8" t="s">
        <v>17</v>
      </c>
      <c r="E4" s="8" t="s">
        <v>18</v>
      </c>
      <c r="F4" s="8" t="s">
        <v>12</v>
      </c>
      <c r="G4" s="6" t="s">
        <v>12</v>
      </c>
      <c r="H4" s="8" t="s">
        <v>12</v>
      </c>
    </row>
    <row r="5" spans="1:8" s="5" customFormat="1" x14ac:dyDescent="0.25">
      <c r="A5" s="6">
        <v>4</v>
      </c>
      <c r="B5" s="7" t="s">
        <v>8</v>
      </c>
      <c r="C5" s="8" t="s">
        <v>19</v>
      </c>
      <c r="D5" s="8" t="s">
        <v>20</v>
      </c>
      <c r="E5" s="8" t="s">
        <v>21</v>
      </c>
      <c r="F5" s="8" t="s">
        <v>12</v>
      </c>
      <c r="G5" s="6" t="s">
        <v>12</v>
      </c>
      <c r="H5" s="8" t="s">
        <v>12</v>
      </c>
    </row>
    <row r="6" spans="1:8" s="5" customFormat="1" x14ac:dyDescent="0.25">
      <c r="A6" s="6">
        <v>5</v>
      </c>
      <c r="B6" s="7" t="s">
        <v>8</v>
      </c>
      <c r="C6" s="8" t="s">
        <v>22</v>
      </c>
      <c r="D6" s="8" t="s">
        <v>23</v>
      </c>
      <c r="E6" s="8" t="s">
        <v>24</v>
      </c>
      <c r="F6" s="8" t="s">
        <v>12</v>
      </c>
      <c r="G6" s="6" t="s">
        <v>12</v>
      </c>
      <c r="H6" s="8" t="s">
        <v>12</v>
      </c>
    </row>
    <row r="7" spans="1:8" s="5" customFormat="1" x14ac:dyDescent="0.25">
      <c r="A7" s="6">
        <v>6</v>
      </c>
      <c r="B7" s="7" t="s">
        <v>8</v>
      </c>
      <c r="C7" s="8" t="s">
        <v>25</v>
      </c>
      <c r="D7" s="8" t="s">
        <v>26</v>
      </c>
      <c r="E7" s="8" t="s">
        <v>27</v>
      </c>
      <c r="F7" s="8" t="s">
        <v>12</v>
      </c>
      <c r="G7" s="6" t="s">
        <v>12</v>
      </c>
      <c r="H7" s="8" t="s">
        <v>12</v>
      </c>
    </row>
    <row r="8" spans="1:8" s="5" customFormat="1" x14ac:dyDescent="0.25">
      <c r="A8" s="6">
        <v>7</v>
      </c>
      <c r="B8" s="9" t="s">
        <v>28</v>
      </c>
      <c r="C8" s="8" t="s">
        <v>29</v>
      </c>
      <c r="D8" s="8" t="s">
        <v>30</v>
      </c>
      <c r="E8" s="8" t="s">
        <v>31</v>
      </c>
      <c r="F8" s="8" t="s">
        <v>12</v>
      </c>
      <c r="G8" s="6" t="s">
        <v>12</v>
      </c>
      <c r="H8" s="8" t="s">
        <v>12</v>
      </c>
    </row>
    <row r="9" spans="1:8" s="5" customFormat="1" x14ac:dyDescent="0.25">
      <c r="A9" s="6">
        <v>8</v>
      </c>
      <c r="B9" s="9" t="s">
        <v>28</v>
      </c>
      <c r="C9" s="8" t="s">
        <v>32</v>
      </c>
      <c r="D9" s="8" t="s">
        <v>33</v>
      </c>
      <c r="E9" s="8" t="s">
        <v>34</v>
      </c>
      <c r="F9" s="8" t="s">
        <v>12</v>
      </c>
      <c r="G9" s="6" t="s">
        <v>12</v>
      </c>
      <c r="H9" s="8" t="s">
        <v>12</v>
      </c>
    </row>
    <row r="10" spans="1:8" s="5" customFormat="1" x14ac:dyDescent="0.25">
      <c r="A10" s="6">
        <v>9</v>
      </c>
      <c r="B10" s="9" t="s">
        <v>28</v>
      </c>
      <c r="C10" s="8" t="s">
        <v>35</v>
      </c>
      <c r="D10" s="8" t="s">
        <v>36</v>
      </c>
      <c r="E10" s="8" t="s">
        <v>37</v>
      </c>
      <c r="F10" s="8" t="s">
        <v>12</v>
      </c>
      <c r="G10" s="6" t="s">
        <v>12</v>
      </c>
      <c r="H10" s="8" t="s">
        <v>12</v>
      </c>
    </row>
    <row r="11" spans="1:8" s="5" customFormat="1" x14ac:dyDescent="0.25">
      <c r="A11" s="6">
        <v>10</v>
      </c>
      <c r="B11" s="9" t="s">
        <v>28</v>
      </c>
      <c r="C11" s="8" t="s">
        <v>38</v>
      </c>
      <c r="D11" s="8" t="s">
        <v>39</v>
      </c>
      <c r="E11" s="8" t="s">
        <v>40</v>
      </c>
      <c r="F11" s="8" t="s">
        <v>12</v>
      </c>
      <c r="G11" s="6" t="s">
        <v>12</v>
      </c>
      <c r="H11" s="8" t="s">
        <v>12</v>
      </c>
    </row>
    <row r="12" spans="1:8" s="5" customFormat="1" x14ac:dyDescent="0.25">
      <c r="A12" s="6">
        <v>11</v>
      </c>
      <c r="B12" s="10" t="s">
        <v>41</v>
      </c>
      <c r="C12" s="8" t="s">
        <v>42</v>
      </c>
      <c r="D12" s="8" t="s">
        <v>43</v>
      </c>
      <c r="E12" s="8" t="s">
        <v>44</v>
      </c>
      <c r="F12" s="8" t="s">
        <v>12</v>
      </c>
      <c r="G12" s="6" t="s">
        <v>12</v>
      </c>
      <c r="H12" s="8" t="s">
        <v>12</v>
      </c>
    </row>
    <row r="13" spans="1:8" s="5" customFormat="1" x14ac:dyDescent="0.25">
      <c r="A13" s="6">
        <v>12</v>
      </c>
      <c r="B13" s="10" t="s">
        <v>41</v>
      </c>
      <c r="C13" s="8" t="s">
        <v>45</v>
      </c>
      <c r="D13" s="8" t="s">
        <v>46</v>
      </c>
      <c r="E13" s="8" t="s">
        <v>47</v>
      </c>
      <c r="F13" s="8" t="s">
        <v>12</v>
      </c>
      <c r="G13" s="6" t="s">
        <v>12</v>
      </c>
      <c r="H13" s="8" t="s">
        <v>12</v>
      </c>
    </row>
    <row r="14" spans="1:8" s="5" customFormat="1" x14ac:dyDescent="0.25">
      <c r="A14" s="6">
        <v>13</v>
      </c>
      <c r="B14" s="10" t="s">
        <v>41</v>
      </c>
      <c r="C14" s="8" t="s">
        <v>48</v>
      </c>
      <c r="D14" s="8" t="s">
        <v>49</v>
      </c>
      <c r="E14" s="8" t="s">
        <v>50</v>
      </c>
      <c r="F14" s="8" t="s">
        <v>12</v>
      </c>
      <c r="G14" s="6" t="s">
        <v>12</v>
      </c>
      <c r="H14" s="8" t="s">
        <v>12</v>
      </c>
    </row>
    <row r="15" spans="1:8" s="5" customFormat="1" x14ac:dyDescent="0.25">
      <c r="A15" s="6">
        <v>14</v>
      </c>
      <c r="B15" s="10" t="s">
        <v>41</v>
      </c>
      <c r="C15" s="8" t="s">
        <v>51</v>
      </c>
      <c r="D15" s="8" t="s">
        <v>52</v>
      </c>
      <c r="E15" s="8" t="s">
        <v>53</v>
      </c>
      <c r="F15" s="8" t="s">
        <v>12</v>
      </c>
      <c r="G15" s="6" t="s">
        <v>12</v>
      </c>
      <c r="H15" s="8" t="s">
        <v>12</v>
      </c>
    </row>
    <row r="16" spans="1:8" s="5" customFormat="1" x14ac:dyDescent="0.25">
      <c r="A16" s="6">
        <v>15</v>
      </c>
      <c r="B16" s="11" t="s">
        <v>54</v>
      </c>
      <c r="C16" s="8" t="s">
        <v>55</v>
      </c>
      <c r="D16" s="8" t="s">
        <v>56</v>
      </c>
      <c r="E16" s="8" t="s">
        <v>57</v>
      </c>
      <c r="F16" s="8" t="s">
        <v>12</v>
      </c>
      <c r="G16" s="6" t="s">
        <v>12</v>
      </c>
      <c r="H16" s="8" t="s">
        <v>12</v>
      </c>
    </row>
    <row r="17" spans="1:8" s="5" customFormat="1" x14ac:dyDescent="0.25">
      <c r="A17" s="6">
        <v>16</v>
      </c>
      <c r="B17" s="11" t="s">
        <v>54</v>
      </c>
      <c r="C17" s="8" t="s">
        <v>58</v>
      </c>
      <c r="D17" s="8" t="s">
        <v>59</v>
      </c>
      <c r="E17" s="8" t="s">
        <v>60</v>
      </c>
      <c r="F17" s="8" t="s">
        <v>12</v>
      </c>
      <c r="G17" s="6" t="s">
        <v>12</v>
      </c>
      <c r="H17" s="8" t="s">
        <v>12</v>
      </c>
    </row>
    <row r="18" spans="1:8" s="5" customFormat="1" x14ac:dyDescent="0.25">
      <c r="A18" s="6">
        <v>17</v>
      </c>
      <c r="B18" s="11" t="s">
        <v>54</v>
      </c>
      <c r="C18" s="8" t="s">
        <v>61</v>
      </c>
      <c r="D18" s="8" t="s">
        <v>62</v>
      </c>
      <c r="E18" s="8" t="s">
        <v>63</v>
      </c>
      <c r="F18" s="8" t="s">
        <v>12</v>
      </c>
      <c r="G18" s="6" t="s">
        <v>12</v>
      </c>
      <c r="H18" s="8" t="s">
        <v>12</v>
      </c>
    </row>
    <row r="19" spans="1:8" s="5" customFormat="1" x14ac:dyDescent="0.25">
      <c r="A19" s="6">
        <v>18</v>
      </c>
      <c r="B19" s="12" t="s">
        <v>64</v>
      </c>
      <c r="C19" s="8" t="s">
        <v>65</v>
      </c>
      <c r="D19" s="8" t="s">
        <v>66</v>
      </c>
      <c r="E19" s="8" t="s">
        <v>67</v>
      </c>
      <c r="F19" s="8" t="s">
        <v>12</v>
      </c>
      <c r="G19" s="6" t="s">
        <v>12</v>
      </c>
      <c r="H19" s="8" t="s">
        <v>12</v>
      </c>
    </row>
    <row r="20" spans="1:8" s="5" customFormat="1" x14ac:dyDescent="0.25">
      <c r="A20" s="6">
        <v>19</v>
      </c>
      <c r="B20" s="12" t="s">
        <v>64</v>
      </c>
      <c r="C20" s="8" t="s">
        <v>68</v>
      </c>
      <c r="D20" s="8" t="s">
        <v>69</v>
      </c>
      <c r="E20" s="8" t="s">
        <v>70</v>
      </c>
      <c r="F20" s="8" t="s">
        <v>12</v>
      </c>
      <c r="G20" s="6" t="s">
        <v>12</v>
      </c>
      <c r="H20" s="8" t="s">
        <v>12</v>
      </c>
    </row>
    <row r="21" spans="1:8" s="5" customFormat="1" x14ac:dyDescent="0.25">
      <c r="A21" s="6">
        <v>20</v>
      </c>
      <c r="B21" s="12" t="s">
        <v>64</v>
      </c>
      <c r="C21" s="8" t="s">
        <v>71</v>
      </c>
      <c r="D21" s="8" t="s">
        <v>72</v>
      </c>
      <c r="E21" s="8" t="s">
        <v>73</v>
      </c>
      <c r="F21" s="8" t="s">
        <v>12</v>
      </c>
      <c r="G21" s="6" t="s">
        <v>12</v>
      </c>
      <c r="H21" s="8" t="s">
        <v>12</v>
      </c>
    </row>
    <row r="22" spans="1:8" s="5" customFormat="1" x14ac:dyDescent="0.25">
      <c r="A22" s="6">
        <v>21</v>
      </c>
      <c r="B22" s="12" t="s">
        <v>64</v>
      </c>
      <c r="C22" s="8" t="s">
        <v>74</v>
      </c>
      <c r="D22" s="8" t="s">
        <v>75</v>
      </c>
      <c r="E22" s="8" t="s">
        <v>76</v>
      </c>
      <c r="F22" s="8" t="s">
        <v>12</v>
      </c>
      <c r="G22" s="6" t="s">
        <v>12</v>
      </c>
      <c r="H22" s="8" t="s">
        <v>12</v>
      </c>
    </row>
    <row r="23" spans="1:8" s="5" customFormat="1" x14ac:dyDescent="0.25">
      <c r="A23" s="6">
        <v>22</v>
      </c>
      <c r="B23" s="13" t="s">
        <v>77</v>
      </c>
      <c r="C23" s="8" t="s">
        <v>78</v>
      </c>
      <c r="D23" s="8" t="s">
        <v>79</v>
      </c>
      <c r="E23" s="8" t="s">
        <v>80</v>
      </c>
      <c r="F23" s="8" t="s">
        <v>12</v>
      </c>
      <c r="G23" s="6" t="s">
        <v>12</v>
      </c>
      <c r="H23" s="8" t="s">
        <v>12</v>
      </c>
    </row>
    <row r="24" spans="1:8" s="5" customFormat="1" x14ac:dyDescent="0.25">
      <c r="A24" s="6">
        <v>23</v>
      </c>
      <c r="B24" s="13" t="s">
        <v>77</v>
      </c>
      <c r="C24" s="8" t="s">
        <v>81</v>
      </c>
      <c r="D24" s="8" t="s">
        <v>82</v>
      </c>
      <c r="E24" s="8" t="s">
        <v>83</v>
      </c>
      <c r="F24" s="8" t="s">
        <v>12</v>
      </c>
      <c r="G24" s="6" t="s">
        <v>12</v>
      </c>
      <c r="H24" s="8" t="s">
        <v>12</v>
      </c>
    </row>
  </sheetData>
  <dataValidations count="2">
    <dataValidation type="list" allowBlank="1" sqref="G10:G24">
      <formula1>"Pass,Fail,N/A"</formula1>
    </dataValidation>
    <dataValidation type="list" allowBlank="1" sqref="G2:G24">
      <formula1>"Pass,Fail,N/A"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34" customWidth="1"/>
    <col min="2" max="4" width="10" customWidth="1"/>
    <col min="5" max="5" width="12" customWidth="1"/>
    <col min="6" max="6" width="22" customWidth="1"/>
  </cols>
  <sheetData>
    <row r="1" ht="22" customHeight="1" spans="1:6" s="14" customFormat="1" x14ac:dyDescent="0.25">
      <c r="A1" s="15" t="s">
        <v>1</v>
      </c>
      <c r="B1" s="15" t="s">
        <v>84</v>
      </c>
      <c r="C1" s="15" t="s">
        <v>85</v>
      </c>
      <c r="D1" s="15" t="s">
        <v>86</v>
      </c>
      <c r="E1" s="15" t="s">
        <v>87</v>
      </c>
      <c r="F1" s="15" t="s">
        <v>88</v>
      </c>
    </row>
    <row r="2" spans="1:6" s="16" customFormat="1" x14ac:dyDescent="0.25">
      <c r="A2" s="17" t="s">
        <v>8</v>
      </c>
      <c r="B2" s="18">
        <v>6</v>
      </c>
      <c r="C2" s="18">
        <f>COUNTIFS('Test Cases'!B:B,A2,'Test Cases'!G:G,"Pass")</f>
      </c>
      <c r="D2" s="18">
        <f>COUNTIFS('Test Cases'!B:B,A2,'Test Cases'!G:G,"Fail")</f>
      </c>
      <c r="E2" s="19">
        <f>IF(B2=0,0,C2/B2)</f>
      </c>
      <c r="F2" s="18">
        <f>IF(E2&gt;=0.9,"Excellent",IF(E2&gt;=0.75,"Very Satisfactory",IF(E2&gt;=0.6,"Satisfactory",IF(E2&gt;=0.4,"Fair","Poor"))))</f>
      </c>
    </row>
    <row r="3" spans="1:6" s="16" customFormat="1" x14ac:dyDescent="0.25">
      <c r="A3" s="20" t="s">
        <v>28</v>
      </c>
      <c r="B3" s="18">
        <v>4</v>
      </c>
      <c r="C3" s="18">
        <f>COUNTIFS('Test Cases'!B:B,A3,'Test Cases'!G:G,"Pass")</f>
      </c>
      <c r="D3" s="18">
        <f>COUNTIFS('Test Cases'!B:B,A3,'Test Cases'!G:G,"Fail")</f>
      </c>
      <c r="E3" s="19">
        <f>IF(B3=0,0,C3/B3)</f>
      </c>
      <c r="F3" s="18">
        <f>IF(E3&gt;=0.9,"Excellent",IF(E3&gt;=0.75,"Very Satisfactory",IF(E3&gt;=0.6,"Satisfactory",IF(E3&gt;=0.4,"Fair","Poor"))))</f>
      </c>
    </row>
    <row r="4" spans="1:6" s="16" customFormat="1" x14ac:dyDescent="0.25">
      <c r="A4" s="21" t="s">
        <v>41</v>
      </c>
      <c r="B4" s="18">
        <v>4</v>
      </c>
      <c r="C4" s="18">
        <f>COUNTIFS('Test Cases'!B:B,A4,'Test Cases'!G:G,"Pass")</f>
      </c>
      <c r="D4" s="18">
        <f>COUNTIFS('Test Cases'!B:B,A4,'Test Cases'!G:G,"Fail")</f>
      </c>
      <c r="E4" s="19">
        <f>IF(B4=0,0,C4/B4)</f>
      </c>
      <c r="F4" s="18">
        <f>IF(E4&gt;=0.9,"Excellent",IF(E4&gt;=0.75,"Very Satisfactory",IF(E4&gt;=0.6,"Satisfactory",IF(E4&gt;=0.4,"Fair","Poor"))))</f>
      </c>
    </row>
    <row r="5" spans="1:6" s="16" customFormat="1" x14ac:dyDescent="0.25">
      <c r="A5" s="22" t="s">
        <v>54</v>
      </c>
      <c r="B5" s="18">
        <v>3</v>
      </c>
      <c r="C5" s="18">
        <f>COUNTIFS('Test Cases'!B:B,A5,'Test Cases'!G:G,"Pass")</f>
      </c>
      <c r="D5" s="18">
        <f>COUNTIFS('Test Cases'!B:B,A5,'Test Cases'!G:G,"Fail")</f>
      </c>
      <c r="E5" s="19">
        <f>IF(B5=0,0,C5/B5)</f>
      </c>
      <c r="F5" s="18">
        <f>IF(E5&gt;=0.9,"Excellent",IF(E5&gt;=0.75,"Very Satisfactory",IF(E5&gt;=0.6,"Satisfactory",IF(E5&gt;=0.4,"Fair","Poor"))))</f>
      </c>
    </row>
    <row r="6" spans="1:6" s="16" customFormat="1" x14ac:dyDescent="0.25">
      <c r="A6" s="23" t="s">
        <v>64</v>
      </c>
      <c r="B6" s="18">
        <v>4</v>
      </c>
      <c r="C6" s="18">
        <f>COUNTIFS('Test Cases'!B:B,A6,'Test Cases'!G:G,"Pass")</f>
      </c>
      <c r="D6" s="18">
        <f>COUNTIFS('Test Cases'!B:B,A6,'Test Cases'!G:G,"Fail")</f>
      </c>
      <c r="E6" s="19">
        <f>IF(B6=0,0,C6/B6)</f>
      </c>
      <c r="F6" s="18">
        <f>IF(E6&gt;=0.9,"Excellent",IF(E6&gt;=0.75,"Very Satisfactory",IF(E6&gt;=0.6,"Satisfactory",IF(E6&gt;=0.4,"Fair","Poor"))))</f>
      </c>
    </row>
    <row r="7" spans="1:6" s="16" customFormat="1" x14ac:dyDescent="0.25">
      <c r="A7" s="24" t="s">
        <v>77</v>
      </c>
      <c r="B7" s="18">
        <v>2</v>
      </c>
      <c r="C7" s="18">
        <f>COUNTIFS('Test Cases'!B:B,A7,'Test Cases'!G:G,"Pass")</f>
      </c>
      <c r="D7" s="18">
        <f>COUNTIFS('Test Cases'!B:B,A7,'Test Cases'!G:G,"Fail")</f>
      </c>
      <c r="E7" s="19">
        <f>IF(B7=0,0,C7/B7)</f>
      </c>
      <c r="F7" s="18">
        <f>IF(E7&gt;=0.9,"Excellent",IF(E7&gt;=0.75,"Very Satisfactory",IF(E7&gt;=0.6,"Satisfactory",IF(E7&gt;=0.4,"Fair","Poor"))))</f>
      </c>
    </row>
    <row r="8" spans="1:6" s="25" customFormat="1" x14ac:dyDescent="0.25">
      <c r="A8" s="26" t="s">
        <v>89</v>
      </c>
      <c r="B8" s="26">
        <f>SUM(B2:B7)</f>
      </c>
      <c r="C8" s="26">
        <f>SUM(C2:C7)</f>
      </c>
      <c r="D8" s="26">
        <f>SUM(D2:D7)</f>
      </c>
      <c r="E8" s="27">
        <f>IF(B8=0,0,C8/B8)</f>
      </c>
      <c r="F8" s="26">
        <f>IF(E8&gt;=0.9,"Excellent",IF(E8&gt;=0.75,"Very Satisfactory",IF(E8&gt;=0.6,"Satisfactory",IF(E8&gt;=0.4,"Fair","Poor"))))</f>
      </c>
    </row>
    <row r="11" spans="1:2" s="25" customFormat="1" x14ac:dyDescent="0.25">
      <c r="A11" s="25" t="s">
        <v>87</v>
      </c>
      <c r="B11" s="25" t="s">
        <v>88</v>
      </c>
    </row>
    <row r="12" spans="1:2" x14ac:dyDescent="0.25">
      <c r="A12" t="s">
        <v>90</v>
      </c>
      <c r="B12" t="s">
        <v>91</v>
      </c>
    </row>
    <row r="13" spans="1:2" x14ac:dyDescent="0.25">
      <c r="A13" t="s">
        <v>92</v>
      </c>
      <c r="B13" t="s">
        <v>93</v>
      </c>
    </row>
    <row r="14" spans="1:2" x14ac:dyDescent="0.25">
      <c r="A14" t="s">
        <v>94</v>
      </c>
      <c r="B14" t="s">
        <v>95</v>
      </c>
    </row>
    <row r="15" spans="1:2" x14ac:dyDescent="0.25">
      <c r="A15" t="s">
        <v>96</v>
      </c>
      <c r="B15" t="s">
        <v>97</v>
      </c>
    </row>
    <row r="16" spans="1:2" x14ac:dyDescent="0.25">
      <c r="A16" t="s">
        <v>98</v>
      </c>
      <c r="B16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ManibelaApp</dc:creator>
  <dc:title/>
  <dc:subject/>
  <dc:description/>
  <cp:keywords/>
  <cp:category/>
  <cp:lastModifiedBy>Unknown</cp:lastModifiedBy>
  <dcterms:created xsi:type="dcterms:W3CDTF">2026-08-31T11:35:13Z</dcterms:created>
  <dcterms:modified xsi:type="dcterms:W3CDTF">2026-08-31T11:35:13Z</dcterms:modified>
</cp:coreProperties>
</file>